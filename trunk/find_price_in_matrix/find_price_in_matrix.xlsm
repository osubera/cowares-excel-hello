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720" yWindow="285" windowWidth="14700" windowHeight="7455"/>
  </bookViews>
  <sheets>
    <sheet name="Sheet1" sheetId="1" r:id="rId1"/>
    <sheet name="PriceMatrix" sheetId="2" r:id="rId2"/>
    <sheet name="find_price_in_matrix" sheetId="3" r:id="rId3"/>
  </sheets>
  <functionGroups/>
  <definedNames>
    <definedName name="_ButtonCaption" localSheetId="2">find_price_in_matrix!$A$15</definedName>
    <definedName name="_Comment" localSheetId="2">find_price_in_matrix!$B$3</definedName>
    <definedName name="_Contributor" localSheetId="2">find_price_in_matrix!$B$6</definedName>
    <definedName name="_Copyright" localSheetId="2">find_price_in_matrix!$B$4</definedName>
    <definedName name="_License" localSheetId="2">find_price_in_matrix!$B$5</definedName>
    <definedName name="_LocalComment" localSheetId="2">find_price_in_matrix!$B$2</definedName>
    <definedName name="_PublicName" localSheetId="2">find_price_in_matrix!$B$1</definedName>
    <definedName name="_Since" localSheetId="2">find_price_in_matrix!$B$7</definedName>
    <definedName name="_Tag" localSheetId="2">find_price_in_matrix!$B$10</definedName>
    <definedName name="_Timestamp" localSheetId="2">find_price_in_matrix!$B$9</definedName>
    <definedName name="_Url" localSheetId="2">find_price_in_matrix!$B$8</definedName>
    <definedName name="ルールエリア">PriceMatrix!$A$1:$N$30</definedName>
  </definedNames>
  <calcPr calcId="125725"/>
</workbook>
</file>

<file path=xl/calcChain.xml><?xml version="1.0" encoding="utf-8"?>
<calcChain xmlns="http://schemas.openxmlformats.org/spreadsheetml/2006/main">
  <c r="B4" i="3"/>
  <c r="D15"/>
  <c r="D16"/>
  <c r="D17"/>
  <c r="B3" i="1"/>
  <c r="B4"/>
  <c r="B6"/>
  <c r="B8"/>
  <c r="B10"/>
  <c r="B12"/>
  <c r="B14"/>
  <c r="B16"/>
  <c r="B18"/>
  <c r="B5"/>
  <c r="B7"/>
  <c r="B9"/>
  <c r="B11"/>
  <c r="B13"/>
  <c r="B15"/>
  <c r="B17"/>
  <c r="A17" l="1"/>
  <c r="A16"/>
  <c r="A15"/>
  <c r="A14"/>
  <c r="A13"/>
  <c r="A12"/>
  <c r="A11"/>
  <c r="A10"/>
  <c r="A9"/>
  <c r="A8"/>
  <c r="A7"/>
  <c r="A6"/>
  <c r="A5"/>
  <c r="A3"/>
</calcChain>
</file>

<file path=xl/sharedStrings.xml><?xml version="1.0" encoding="utf-8"?>
<sst xmlns="http://schemas.openxmlformats.org/spreadsheetml/2006/main" count="106" uniqueCount="61">
  <si>
    <t>１軸</t>
  </si>
  <si>
    <t>単価</t>
  </si>
  <si>
    <t>２軸ルール</t>
  </si>
  <si>
    <t>フラグ</t>
  </si>
  <si>
    <t>電話</t>
  </si>
  <si>
    <t>住所</t>
  </si>
  <si>
    <t>fax</t>
  </si>
  <si>
    <t>確認</t>
  </si>
  <si>
    <t>記号</t>
  </si>
  <si>
    <t>ポイント</t>
  </si>
  <si>
    <t>1回目確認URL</t>
  </si>
  <si>
    <t>備考</t>
  </si>
  <si>
    <t>名前</t>
  </si>
  <si>
    <t>事務所</t>
  </si>
  <si>
    <t>指定サイトURL</t>
  </si>
  <si>
    <t>2回目確認URL</t>
  </si>
  <si>
    <t>http://www.yahoo.co.jp/</t>
  </si>
  <si>
    <t>888-888-8888</t>
  </si>
  <si>
    <t>文京区本郷７－３－１</t>
  </si>
  <si>
    <t>777-777-7777</t>
  </si>
  <si>
    <t>単価計算</t>
    <rPh sb="0" eb="2">
      <t>タンカ</t>
    </rPh>
    <rPh sb="2" eb="4">
      <t>ケイサン</t>
    </rPh>
    <phoneticPr fontId="1"/>
  </si>
  <si>
    <t>確定単価</t>
    <rPh sb="0" eb="2">
      <t>カクテイ</t>
    </rPh>
    <rPh sb="2" eb="4">
      <t>タンカ</t>
    </rPh>
    <phoneticPr fontId="1"/>
  </si>
  <si>
    <t>名称</t>
  </si>
  <si>
    <t>find_price_in_matrix</t>
  </si>
  <si>
    <t>コメント</t>
  </si>
  <si>
    <t>修正可能なマトリックス単価表から単価を探す</t>
  </si>
  <si>
    <t>comment</t>
  </si>
  <si>
    <t>find a unit price from a flexible price matrix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</si>
  <si>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</si>
  <si>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</si>
  <si>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</si>
  <si>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</si>
  <si>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</si>
  <si>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</si>
  <si>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</si>
  <si>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http://code.google.com/p/cowares-excel-hello/wiki/find_price_in_matrix</t>
  </si>
  <si>
    <t>更新</t>
  </si>
  <si>
    <t>keyword</t>
  </si>
  <si>
    <t>vba,excel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</si>
  <si>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</si>
  <si>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</si>
  <si>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</si>
  <si>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</si>
  <si>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</si>
  <si>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</si>
  <si>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</si>
  <si>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</si>
  <si>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</si>
  <si>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</si>
  <si>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データ範囲</t>
  </si>
  <si>
    <t>集計の対象とするデータ範囲を指定する。セルが１つしか選ばれていなければ、そのセルを含む範囲で自動設定する。フラグ列を自動設定する。</t>
  </si>
  <si>
    <t>data</t>
  </si>
  <si>
    <t>フラグ列</t>
  </si>
  <si>
    <t>自動設定されたフラグ列が違う場合に、このボタンで指定する。</t>
  </si>
  <si>
    <t>flag</t>
  </si>
  <si>
    <t>ルールエリア</t>
  </si>
  <si>
    <t>標準の範囲名「ルールエリア」以外の範囲を使う場合に、このボタンで指定する。</t>
  </si>
  <si>
    <t>rulearea</t>
  </si>
  <si>
    <t>集計</t>
  </si>
  <si>
    <t>指定された範囲から集計表を作成する。</t>
  </si>
  <si>
    <t>sumup</t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</si>
</sst>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 textRotation="255"/>
    </xf>
    <xf numFmtId="0" fontId="0" fillId="0" borderId="0" xfId="0" applyNumberFormat="1"/>
    <xf numFmtId="22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標準" xfId="0" builtinId="0"/>
  </cellStyles>
  <dxfs count="1"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8"/>
  <sheetViews>
    <sheetView tabSelected="1" workbookViewId="0"/>
  </sheetViews>
  <sheetFormatPr defaultRowHeight="13.5"/>
  <sheetData>
    <row r="1" spans="1:22">
      <c r="F1">
        <v>21</v>
      </c>
      <c r="G1">
        <v>22</v>
      </c>
      <c r="H1">
        <v>23</v>
      </c>
      <c r="I1">
        <v>24</v>
      </c>
      <c r="J1">
        <v>25</v>
      </c>
      <c r="K1">
        <v>26</v>
      </c>
      <c r="L1">
        <v>27</v>
      </c>
      <c r="M1">
        <v>28</v>
      </c>
      <c r="N1">
        <v>29</v>
      </c>
      <c r="O1">
        <v>30</v>
      </c>
      <c r="P1">
        <v>31</v>
      </c>
      <c r="Q1">
        <v>32</v>
      </c>
      <c r="R1">
        <v>33</v>
      </c>
      <c r="S1">
        <v>34</v>
      </c>
      <c r="T1">
        <v>35</v>
      </c>
      <c r="U1">
        <v>36</v>
      </c>
      <c r="V1">
        <v>37</v>
      </c>
    </row>
    <row r="2" spans="1:22" ht="109.5">
      <c r="A2" s="1" t="s">
        <v>21</v>
      </c>
      <c r="B2" s="1" t="s">
        <v>20</v>
      </c>
      <c r="E2" s="1" t="s">
        <v>14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T2" t="s">
        <v>15</v>
      </c>
    </row>
    <row r="3" spans="1:22">
      <c r="A3">
        <f>B3</f>
        <v>5</v>
      </c>
      <c r="B3">
        <f t="shared" ref="B3:B18" si="0">findprice(ルールエリア,F3,E3:P3)</f>
        <v>5</v>
      </c>
      <c r="D3">
        <v>1</v>
      </c>
      <c r="E3" t="s">
        <v>16</v>
      </c>
      <c r="F3">
        <v>3</v>
      </c>
      <c r="G3" t="s">
        <v>17</v>
      </c>
      <c r="H3" t="s">
        <v>18</v>
      </c>
      <c r="I3" t="s">
        <v>19</v>
      </c>
      <c r="M3" t="s">
        <v>16</v>
      </c>
    </row>
    <row r="4" spans="1:22">
      <c r="A4">
        <v>4</v>
      </c>
      <c r="B4">
        <f t="shared" si="0"/>
        <v>0</v>
      </c>
      <c r="D4">
        <v>2</v>
      </c>
      <c r="E4" t="s">
        <v>16</v>
      </c>
      <c r="F4">
        <v>3</v>
      </c>
      <c r="H4" t="s">
        <v>18</v>
      </c>
      <c r="I4" t="s">
        <v>19</v>
      </c>
      <c r="M4" t="s">
        <v>16</v>
      </c>
    </row>
    <row r="5" spans="1:22">
      <c r="A5">
        <f t="shared" ref="A5:A17" si="1">B5</f>
        <v>2</v>
      </c>
      <c r="B5">
        <f t="shared" si="0"/>
        <v>2</v>
      </c>
      <c r="D5">
        <v>3</v>
      </c>
      <c r="E5" t="s">
        <v>16</v>
      </c>
      <c r="F5">
        <v>9</v>
      </c>
    </row>
    <row r="6" spans="1:22">
      <c r="A6">
        <f t="shared" si="1"/>
        <v>3</v>
      </c>
      <c r="B6">
        <f t="shared" si="0"/>
        <v>3</v>
      </c>
      <c r="D6">
        <v>4</v>
      </c>
      <c r="E6" t="s">
        <v>16</v>
      </c>
      <c r="F6">
        <v>4</v>
      </c>
      <c r="H6" t="s">
        <v>18</v>
      </c>
      <c r="I6" t="s">
        <v>19</v>
      </c>
      <c r="M6" t="s">
        <v>16</v>
      </c>
    </row>
    <row r="7" spans="1:22">
      <c r="A7">
        <f t="shared" si="1"/>
        <v>4</v>
      </c>
      <c r="B7">
        <f t="shared" si="0"/>
        <v>4</v>
      </c>
      <c r="D7">
        <v>5</v>
      </c>
      <c r="E7" t="s">
        <v>16</v>
      </c>
      <c r="F7">
        <v>3</v>
      </c>
      <c r="G7" t="s">
        <v>17</v>
      </c>
      <c r="M7" t="s">
        <v>16</v>
      </c>
    </row>
    <row r="8" spans="1:22">
      <c r="A8">
        <f t="shared" si="1"/>
        <v>1.5</v>
      </c>
      <c r="B8">
        <f t="shared" si="0"/>
        <v>1.5</v>
      </c>
      <c r="D8">
        <v>6</v>
      </c>
      <c r="E8" t="s">
        <v>16</v>
      </c>
      <c r="F8">
        <v>0</v>
      </c>
    </row>
    <row r="9" spans="1:22">
      <c r="A9">
        <f t="shared" si="1"/>
        <v>1.5</v>
      </c>
      <c r="B9">
        <f t="shared" si="0"/>
        <v>1.5</v>
      </c>
      <c r="D9">
        <v>7</v>
      </c>
      <c r="E9" t="s">
        <v>16</v>
      </c>
      <c r="F9">
        <v>0</v>
      </c>
    </row>
    <row r="10" spans="1:22">
      <c r="A10">
        <f t="shared" si="1"/>
        <v>3.5</v>
      </c>
      <c r="B10">
        <f t="shared" si="0"/>
        <v>3.5</v>
      </c>
      <c r="D10">
        <v>8</v>
      </c>
      <c r="E10" t="s">
        <v>16</v>
      </c>
      <c r="F10">
        <v>1</v>
      </c>
      <c r="G10" t="s">
        <v>17</v>
      </c>
      <c r="H10" t="s">
        <v>18</v>
      </c>
      <c r="I10" t="s">
        <v>19</v>
      </c>
      <c r="M10" t="s">
        <v>16</v>
      </c>
    </row>
    <row r="11" spans="1:22">
      <c r="A11">
        <f t="shared" si="1"/>
        <v>0</v>
      </c>
      <c r="B11">
        <f t="shared" si="0"/>
        <v>0</v>
      </c>
      <c r="D11">
        <v>9</v>
      </c>
      <c r="E11" t="s">
        <v>16</v>
      </c>
      <c r="F11">
        <v>1</v>
      </c>
    </row>
    <row r="12" spans="1:22">
      <c r="A12">
        <f t="shared" si="1"/>
        <v>2</v>
      </c>
      <c r="B12">
        <f t="shared" si="0"/>
        <v>2</v>
      </c>
      <c r="D12">
        <v>10</v>
      </c>
      <c r="E12" t="s">
        <v>16</v>
      </c>
      <c r="F12">
        <v>0</v>
      </c>
      <c r="I12" t="s">
        <v>19</v>
      </c>
    </row>
    <row r="13" spans="1:22">
      <c r="A13">
        <f t="shared" si="1"/>
        <v>2.5</v>
      </c>
      <c r="B13">
        <f t="shared" si="0"/>
        <v>2.5</v>
      </c>
      <c r="D13">
        <v>11</v>
      </c>
      <c r="E13" t="s">
        <v>16</v>
      </c>
      <c r="F13">
        <v>2</v>
      </c>
      <c r="M13" t="s">
        <v>16</v>
      </c>
    </row>
    <row r="14" spans="1:22">
      <c r="A14">
        <f t="shared" si="1"/>
        <v>2</v>
      </c>
      <c r="B14">
        <f t="shared" si="0"/>
        <v>2</v>
      </c>
      <c r="D14">
        <v>12</v>
      </c>
      <c r="E14" t="s">
        <v>16</v>
      </c>
      <c r="F14">
        <v>9</v>
      </c>
    </row>
    <row r="15" spans="1:22">
      <c r="A15">
        <f t="shared" si="1"/>
        <v>1.5</v>
      </c>
      <c r="B15">
        <f t="shared" si="0"/>
        <v>1.5</v>
      </c>
      <c r="D15">
        <v>13</v>
      </c>
      <c r="F15">
        <v>9</v>
      </c>
    </row>
    <row r="16" spans="1:22">
      <c r="A16">
        <f t="shared" si="1"/>
        <v>3</v>
      </c>
      <c r="B16">
        <f t="shared" si="0"/>
        <v>3</v>
      </c>
      <c r="D16">
        <v>14</v>
      </c>
      <c r="E16" t="s">
        <v>16</v>
      </c>
      <c r="F16">
        <v>2</v>
      </c>
      <c r="I16" t="s">
        <v>19</v>
      </c>
      <c r="M16" t="s">
        <v>16</v>
      </c>
    </row>
    <row r="17" spans="1:8">
      <c r="A17">
        <f t="shared" si="1"/>
        <v>1.5</v>
      </c>
      <c r="B17">
        <f t="shared" si="0"/>
        <v>1.5</v>
      </c>
      <c r="D17">
        <v>15</v>
      </c>
      <c r="E17" t="s">
        <v>16</v>
      </c>
      <c r="F17">
        <v>0</v>
      </c>
    </row>
    <row r="18" spans="1:8">
      <c r="A18">
        <v>1.5</v>
      </c>
      <c r="B18">
        <f t="shared" si="0"/>
        <v>0</v>
      </c>
      <c r="D18">
        <v>16</v>
      </c>
      <c r="E18" t="s">
        <v>16</v>
      </c>
      <c r="F18">
        <v>1</v>
      </c>
      <c r="H18" t="s">
        <v>18</v>
      </c>
    </row>
  </sheetData>
  <phoneticPr fontId="1"/>
  <conditionalFormatting sqref="A3:A22">
    <cfRule type="cellIs" dxfId="0" priority="1" stopIfTrue="1" operator="notEqual">
      <formula>B3</formula>
    </cfRule>
  </conditionalFormatting>
  <pageMargins left="0.78700000000000003" right="0.78700000000000003" top="0.98399999999999999" bottom="0.98399999999999999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PriceMatrix"/>
  <dimension ref="A1:N30"/>
  <sheetViews>
    <sheetView workbookViewId="0">
      <selection activeCell="B3" sqref="B3"/>
    </sheetView>
  </sheetViews>
  <sheetFormatPr defaultRowHeight="13.5"/>
  <sheetData>
    <row r="1" spans="1:14">
      <c r="A1" s="4" t="s">
        <v>0</v>
      </c>
      <c r="B1" s="5" t="s">
        <v>1</v>
      </c>
      <c r="C1" s="4" t="s">
        <v>2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</row>
    <row r="3" spans="1:14">
      <c r="A3" s="4" t="s">
        <v>3</v>
      </c>
      <c r="C3" s="4" t="s">
        <v>14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N3" s="4" t="s">
        <v>13</v>
      </c>
    </row>
    <row r="5" spans="1:14">
      <c r="A5" s="4">
        <v>0</v>
      </c>
      <c r="B5" s="5">
        <v>2</v>
      </c>
      <c r="C5" s="4">
        <v>1</v>
      </c>
      <c r="D5" s="4"/>
      <c r="E5" s="4"/>
      <c r="F5" s="4"/>
      <c r="G5" s="4">
        <v>1</v>
      </c>
      <c r="H5" s="4"/>
      <c r="I5" s="4"/>
      <c r="J5" s="4"/>
      <c r="K5" s="4"/>
      <c r="L5" s="4"/>
      <c r="M5" s="4"/>
      <c r="N5" s="4"/>
    </row>
    <row r="6" spans="1:14">
      <c r="A6" s="4">
        <v>0</v>
      </c>
      <c r="B6" s="5">
        <v>1.5</v>
      </c>
      <c r="C6" s="4">
        <v>1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>
      <c r="A7" s="4">
        <v>1</v>
      </c>
      <c r="B7" s="5">
        <v>3.5</v>
      </c>
      <c r="C7" s="4">
        <v>1</v>
      </c>
      <c r="D7" s="4"/>
      <c r="E7" s="4">
        <v>1</v>
      </c>
      <c r="F7" s="4">
        <v>1</v>
      </c>
      <c r="G7" s="4">
        <v>1</v>
      </c>
      <c r="H7" s="4"/>
      <c r="I7" s="4"/>
      <c r="J7" s="4"/>
      <c r="K7" s="4"/>
      <c r="L7" s="4"/>
      <c r="M7" s="4"/>
      <c r="N7" s="4"/>
    </row>
    <row r="8" spans="1:14">
      <c r="A8" s="4">
        <v>1</v>
      </c>
      <c r="B8" s="5">
        <v>3</v>
      </c>
      <c r="C8" s="4">
        <v>1</v>
      </c>
      <c r="D8" s="4"/>
      <c r="E8" s="4">
        <v>1</v>
      </c>
      <c r="F8" s="4">
        <v>1</v>
      </c>
      <c r="G8" s="4"/>
      <c r="H8" s="4"/>
      <c r="I8" s="4"/>
      <c r="J8" s="4"/>
      <c r="K8" s="4"/>
      <c r="L8" s="4"/>
      <c r="M8" s="4"/>
      <c r="N8" s="4"/>
    </row>
    <row r="9" spans="1:14">
      <c r="A9" s="4">
        <v>1</v>
      </c>
      <c r="B9" s="5">
        <v>3</v>
      </c>
      <c r="C9" s="4">
        <v>1</v>
      </c>
      <c r="D9" s="4"/>
      <c r="E9" s="4">
        <v>1</v>
      </c>
      <c r="F9" s="4"/>
      <c r="G9" s="4">
        <v>1</v>
      </c>
      <c r="H9" s="4"/>
      <c r="I9" s="4"/>
      <c r="J9" s="4"/>
      <c r="K9" s="4"/>
      <c r="L9" s="4"/>
      <c r="M9" s="4"/>
      <c r="N9" s="4"/>
    </row>
    <row r="10" spans="1:14">
      <c r="A10" s="4">
        <v>1</v>
      </c>
      <c r="B10" s="5">
        <v>2.5</v>
      </c>
      <c r="C10" s="4">
        <v>1</v>
      </c>
      <c r="D10" s="4"/>
      <c r="E10" s="4">
        <v>1</v>
      </c>
      <c r="F10" s="4"/>
      <c r="G10" s="4"/>
      <c r="H10" s="4"/>
      <c r="I10" s="4"/>
      <c r="J10" s="4"/>
      <c r="K10" s="4"/>
      <c r="L10" s="4"/>
      <c r="M10" s="4"/>
      <c r="N10" s="4"/>
    </row>
    <row r="11" spans="1:14">
      <c r="A11" s="4">
        <v>2</v>
      </c>
      <c r="B11" s="5">
        <v>3</v>
      </c>
      <c r="C11" s="4">
        <v>1</v>
      </c>
      <c r="D11" s="4"/>
      <c r="E11" s="4"/>
      <c r="F11" s="4"/>
      <c r="G11" s="4">
        <v>1</v>
      </c>
      <c r="H11" s="4"/>
      <c r="I11" s="4"/>
      <c r="J11" s="4"/>
      <c r="K11" s="4">
        <v>1</v>
      </c>
      <c r="L11" s="4"/>
      <c r="M11" s="4"/>
      <c r="N11" s="4"/>
    </row>
    <row r="12" spans="1:14">
      <c r="A12" s="4">
        <v>2</v>
      </c>
      <c r="B12" s="5">
        <v>2.5</v>
      </c>
      <c r="C12" s="4">
        <v>1</v>
      </c>
      <c r="D12" s="4"/>
      <c r="E12" s="4"/>
      <c r="F12" s="4"/>
      <c r="G12" s="4"/>
      <c r="H12" s="4"/>
      <c r="I12" s="4"/>
      <c r="J12" s="4"/>
      <c r="K12" s="4">
        <v>1</v>
      </c>
      <c r="L12" s="4"/>
      <c r="M12" s="4"/>
      <c r="N12" s="4"/>
    </row>
    <row r="13" spans="1:14">
      <c r="A13" s="4">
        <v>3</v>
      </c>
      <c r="B13" s="5">
        <v>5</v>
      </c>
      <c r="C13" s="4">
        <v>1</v>
      </c>
      <c r="D13" s="4"/>
      <c r="E13" s="4">
        <v>1</v>
      </c>
      <c r="F13" s="4">
        <v>1</v>
      </c>
      <c r="G13" s="4">
        <v>1</v>
      </c>
      <c r="H13" s="4"/>
      <c r="I13" s="4"/>
      <c r="J13" s="4"/>
      <c r="K13" s="4">
        <v>1</v>
      </c>
      <c r="L13" s="4"/>
      <c r="M13" s="4"/>
      <c r="N13" s="4"/>
    </row>
    <row r="14" spans="1:14">
      <c r="A14" s="4">
        <v>3</v>
      </c>
      <c r="B14" s="5">
        <v>4.5</v>
      </c>
      <c r="C14" s="4">
        <v>1</v>
      </c>
      <c r="D14" s="4"/>
      <c r="E14" s="4">
        <v>1</v>
      </c>
      <c r="F14" s="4">
        <v>1</v>
      </c>
      <c r="G14" s="4"/>
      <c r="H14" s="4"/>
      <c r="I14" s="4"/>
      <c r="J14" s="4"/>
      <c r="K14" s="4">
        <v>1</v>
      </c>
      <c r="L14" s="4"/>
      <c r="M14" s="4"/>
      <c r="N14" s="4"/>
    </row>
    <row r="15" spans="1:14">
      <c r="A15" s="4">
        <v>3</v>
      </c>
      <c r="B15" s="5">
        <v>4.5</v>
      </c>
      <c r="C15" s="4">
        <v>1</v>
      </c>
      <c r="D15" s="4"/>
      <c r="E15" s="4">
        <v>1</v>
      </c>
      <c r="F15" s="4"/>
      <c r="G15" s="4">
        <v>1</v>
      </c>
      <c r="H15" s="4"/>
      <c r="I15" s="4"/>
      <c r="J15" s="4"/>
      <c r="K15" s="4">
        <v>1</v>
      </c>
      <c r="L15" s="4"/>
      <c r="M15" s="4"/>
      <c r="N15" s="4"/>
    </row>
    <row r="16" spans="1:14">
      <c r="A16" s="4">
        <v>3</v>
      </c>
      <c r="B16" s="5">
        <v>4</v>
      </c>
      <c r="C16" s="4">
        <v>1</v>
      </c>
      <c r="D16" s="4"/>
      <c r="E16" s="4">
        <v>1</v>
      </c>
      <c r="F16" s="4"/>
      <c r="G16" s="4"/>
      <c r="H16" s="4"/>
      <c r="I16" s="4"/>
      <c r="J16" s="4"/>
      <c r="K16" s="4">
        <v>1</v>
      </c>
      <c r="L16" s="4"/>
      <c r="M16" s="4"/>
      <c r="N16" s="4"/>
    </row>
    <row r="17" spans="1:14">
      <c r="A17" s="4">
        <v>9</v>
      </c>
      <c r="B17" s="5">
        <v>2</v>
      </c>
      <c r="C17" s="4">
        <v>1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</row>
    <row r="18" spans="1:14">
      <c r="A18" s="4">
        <v>9</v>
      </c>
      <c r="B18" s="5">
        <v>1.5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</row>
    <row r="19" spans="1:14">
      <c r="A19" s="4">
        <v>4</v>
      </c>
      <c r="B19" s="5">
        <v>5</v>
      </c>
      <c r="C19" s="4">
        <v>1</v>
      </c>
      <c r="D19" s="4"/>
      <c r="E19" s="4">
        <v>1</v>
      </c>
      <c r="F19" s="4">
        <v>1</v>
      </c>
      <c r="G19" s="4">
        <v>1</v>
      </c>
      <c r="H19" s="4"/>
      <c r="I19" s="4"/>
      <c r="J19" s="4"/>
      <c r="K19" s="4">
        <v>1</v>
      </c>
      <c r="L19" s="4"/>
      <c r="M19" s="4"/>
      <c r="N19" s="4"/>
    </row>
    <row r="20" spans="1:14">
      <c r="A20" s="4">
        <v>4</v>
      </c>
      <c r="B20" s="5">
        <v>4.5</v>
      </c>
      <c r="C20" s="4">
        <v>1</v>
      </c>
      <c r="D20" s="4"/>
      <c r="E20" s="4">
        <v>1</v>
      </c>
      <c r="F20" s="4">
        <v>1</v>
      </c>
      <c r="G20" s="4"/>
      <c r="H20" s="4"/>
      <c r="I20" s="4"/>
      <c r="J20" s="4"/>
      <c r="K20" s="4">
        <v>1</v>
      </c>
      <c r="L20" s="4"/>
      <c r="M20" s="4"/>
      <c r="N20" s="4"/>
    </row>
    <row r="21" spans="1:14">
      <c r="A21" s="4">
        <v>4</v>
      </c>
      <c r="B21" s="5">
        <v>4.5</v>
      </c>
      <c r="C21" s="4">
        <v>1</v>
      </c>
      <c r="D21" s="4"/>
      <c r="E21" s="4">
        <v>1</v>
      </c>
      <c r="F21" s="4"/>
      <c r="G21" s="4">
        <v>1</v>
      </c>
      <c r="H21" s="4"/>
      <c r="I21" s="4"/>
      <c r="J21" s="4"/>
      <c r="K21" s="4">
        <v>1</v>
      </c>
      <c r="L21" s="4"/>
      <c r="M21" s="4"/>
      <c r="N21" s="4"/>
    </row>
    <row r="22" spans="1:14">
      <c r="A22" s="4">
        <v>4</v>
      </c>
      <c r="B22" s="5">
        <v>4</v>
      </c>
      <c r="C22" s="4">
        <v>1</v>
      </c>
      <c r="D22" s="4"/>
      <c r="E22" s="4">
        <v>1</v>
      </c>
      <c r="F22" s="4"/>
      <c r="G22" s="4"/>
      <c r="H22" s="4"/>
      <c r="I22" s="4"/>
      <c r="J22" s="4"/>
      <c r="K22" s="4">
        <v>1</v>
      </c>
      <c r="L22" s="4"/>
      <c r="M22" s="4"/>
      <c r="N22" s="4"/>
    </row>
    <row r="23" spans="1:14">
      <c r="A23" s="4">
        <v>4</v>
      </c>
      <c r="B23" s="5">
        <v>3</v>
      </c>
      <c r="C23" s="4">
        <v>1</v>
      </c>
      <c r="D23" s="4"/>
      <c r="E23" s="4"/>
      <c r="F23" s="4"/>
      <c r="G23" s="4">
        <v>1</v>
      </c>
      <c r="H23" s="4"/>
      <c r="I23" s="4"/>
      <c r="J23" s="4"/>
      <c r="K23" s="4">
        <v>1</v>
      </c>
      <c r="L23" s="4"/>
      <c r="M23" s="4"/>
      <c r="N23" s="4"/>
    </row>
    <row r="24" spans="1:14">
      <c r="A24" s="4">
        <v>4</v>
      </c>
      <c r="B24" s="5">
        <v>2.5</v>
      </c>
      <c r="C24" s="4">
        <v>1</v>
      </c>
      <c r="D24" s="4"/>
      <c r="E24" s="4"/>
      <c r="F24" s="4"/>
      <c r="G24" s="4"/>
      <c r="H24" s="4"/>
      <c r="I24" s="4"/>
      <c r="J24" s="4"/>
      <c r="K24" s="4">
        <v>1</v>
      </c>
      <c r="L24" s="4"/>
      <c r="M24" s="4"/>
      <c r="N24" s="4"/>
    </row>
    <row r="25" spans="1:14">
      <c r="A25" s="4">
        <v>4</v>
      </c>
      <c r="B25" s="5">
        <v>3.5</v>
      </c>
      <c r="C25" s="4">
        <v>1</v>
      </c>
      <c r="D25" s="4"/>
      <c r="E25" s="4">
        <v>1</v>
      </c>
      <c r="F25" s="4">
        <v>1</v>
      </c>
      <c r="G25" s="4">
        <v>1</v>
      </c>
      <c r="H25" s="4"/>
      <c r="I25" s="4"/>
      <c r="J25" s="4"/>
      <c r="K25" s="4"/>
      <c r="L25" s="4"/>
      <c r="M25" s="4"/>
      <c r="N25" s="4"/>
    </row>
    <row r="26" spans="1:14">
      <c r="A26" s="4">
        <v>4</v>
      </c>
      <c r="B26" s="5">
        <v>3</v>
      </c>
      <c r="C26" s="4">
        <v>1</v>
      </c>
      <c r="D26" s="4"/>
      <c r="E26" s="4">
        <v>1</v>
      </c>
      <c r="F26" s="4">
        <v>1</v>
      </c>
      <c r="G26" s="4"/>
      <c r="H26" s="4"/>
      <c r="I26" s="4"/>
      <c r="J26" s="4"/>
      <c r="K26" s="4"/>
      <c r="L26" s="4"/>
      <c r="M26" s="4"/>
      <c r="N26" s="4"/>
    </row>
    <row r="27" spans="1:14">
      <c r="A27" s="4">
        <v>4</v>
      </c>
      <c r="B27" s="5">
        <v>3</v>
      </c>
      <c r="C27" s="4">
        <v>1</v>
      </c>
      <c r="D27" s="4"/>
      <c r="E27" s="4">
        <v>1</v>
      </c>
      <c r="F27" s="4"/>
      <c r="G27" s="4">
        <v>1</v>
      </c>
      <c r="H27" s="4"/>
      <c r="I27" s="4"/>
      <c r="J27" s="4"/>
      <c r="K27" s="4"/>
      <c r="L27" s="4"/>
      <c r="M27" s="4"/>
      <c r="N27" s="4"/>
    </row>
    <row r="28" spans="1:14">
      <c r="A28" s="4">
        <v>4</v>
      </c>
      <c r="B28" s="5">
        <v>2.5</v>
      </c>
      <c r="C28" s="4">
        <v>1</v>
      </c>
      <c r="D28" s="4"/>
      <c r="E28" s="4">
        <v>1</v>
      </c>
      <c r="F28" s="4"/>
      <c r="G28" s="4"/>
      <c r="H28" s="4"/>
      <c r="I28" s="4"/>
      <c r="J28" s="4"/>
      <c r="K28" s="4"/>
      <c r="L28" s="4"/>
      <c r="M28" s="4"/>
      <c r="N28" s="4"/>
    </row>
    <row r="29" spans="1:14">
      <c r="A29" s="4">
        <v>4</v>
      </c>
      <c r="B29" s="5">
        <v>2</v>
      </c>
      <c r="C29" s="4">
        <v>1</v>
      </c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4">
      <c r="A30" s="4">
        <v>4</v>
      </c>
      <c r="B30" s="5">
        <v>1.5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BaumMain"/>
  <dimension ref="A1:M18"/>
  <sheetViews>
    <sheetView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2" t="s">
        <v>22</v>
      </c>
      <c r="B1" s="2" t="s">
        <v>23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>
      <c r="A2" s="2" t="s">
        <v>24</v>
      </c>
      <c r="B2" s="2" t="s">
        <v>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2" t="s">
        <v>26</v>
      </c>
      <c r="B3" s="2" t="s">
        <v>27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>
      <c r="A4" s="2" t="s">
        <v>28</v>
      </c>
      <c r="B4" s="2" t="str">
        <f>"Copyright (C) " &amp;B7 &amp; "-" &amp; YEAR(B9) &amp; " " &amp; B6</f>
        <v>Copyright (C) 2011-2011 Tomizono - kobobau.com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 s="2" t="s">
        <v>29</v>
      </c>
      <c r="B5" s="2" t="s">
        <v>30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>
      <c r="A6" s="2" t="s">
        <v>31</v>
      </c>
      <c r="B6" s="2" t="s">
        <v>32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>
      <c r="A7" s="2" t="s">
        <v>33</v>
      </c>
      <c r="B7" s="2">
        <v>2011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>
      <c r="A8" s="2" t="s">
        <v>34</v>
      </c>
      <c r="B8" s="2" t="s">
        <v>35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>
      <c r="A9" s="2" t="s">
        <v>36</v>
      </c>
      <c r="B9" s="3">
        <v>40660.319444444445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>
      <c r="A10" s="2" t="s">
        <v>37</v>
      </c>
      <c r="B10" s="2" t="s">
        <v>38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>
      <c r="A13" s="2" t="s">
        <v>39</v>
      </c>
      <c r="B13" s="2" t="s">
        <v>40</v>
      </c>
      <c r="C13" s="2" t="s">
        <v>41</v>
      </c>
      <c r="D13" s="2" t="s">
        <v>42</v>
      </c>
      <c r="E13" s="2" t="s">
        <v>43</v>
      </c>
      <c r="F13" s="2" t="s">
        <v>44</v>
      </c>
      <c r="G13" s="2" t="s">
        <v>45</v>
      </c>
      <c r="H13" s="2" t="s">
        <v>46</v>
      </c>
      <c r="I13" s="2" t="s">
        <v>47</v>
      </c>
      <c r="J13" s="2" t="s">
        <v>48</v>
      </c>
      <c r="K13" s="2"/>
      <c r="L13" s="2"/>
      <c r="M13" s="2"/>
    </row>
    <row r="14" spans="1:1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2" t="s">
        <v>49</v>
      </c>
      <c r="B15" s="2" t="s">
        <v>50</v>
      </c>
      <c r="C15" s="2" t="s">
        <v>51</v>
      </c>
      <c r="D15" s="2" t="str">
        <f>_ButtonCaption</f>
        <v>データ範囲</v>
      </c>
      <c r="E15" s="2">
        <v>1</v>
      </c>
      <c r="F15" s="2">
        <v>2</v>
      </c>
      <c r="G15" s="2"/>
      <c r="H15" s="2">
        <v>1</v>
      </c>
      <c r="I15" s="2"/>
      <c r="J15" s="2"/>
      <c r="K15" s="2"/>
      <c r="L15" s="2"/>
      <c r="M15" s="2"/>
    </row>
    <row r="16" spans="1:13">
      <c r="A16" s="2" t="s">
        <v>52</v>
      </c>
      <c r="B16" s="2" t="s">
        <v>53</v>
      </c>
      <c r="C16" s="2" t="s">
        <v>54</v>
      </c>
      <c r="D16" s="2" t="str">
        <f>A16</f>
        <v>フラグ列</v>
      </c>
      <c r="E16" s="2">
        <v>1</v>
      </c>
      <c r="F16" s="2">
        <v>2</v>
      </c>
      <c r="G16" s="2"/>
      <c r="H16" s="2"/>
      <c r="I16" s="2"/>
      <c r="J16" s="2"/>
      <c r="K16" s="2"/>
      <c r="L16" s="2"/>
      <c r="M16" s="2"/>
    </row>
    <row r="17" spans="1:13">
      <c r="A17" s="2" t="s">
        <v>55</v>
      </c>
      <c r="B17" s="2" t="s">
        <v>56</v>
      </c>
      <c r="C17" s="2" t="s">
        <v>57</v>
      </c>
      <c r="D17" s="2" t="str">
        <f>A17</f>
        <v>ルールエリア</v>
      </c>
      <c r="E17" s="2">
        <v>1</v>
      </c>
      <c r="F17" s="2">
        <v>2</v>
      </c>
      <c r="G17" s="2"/>
      <c r="H17" s="2"/>
      <c r="I17" s="2"/>
      <c r="J17" s="2"/>
      <c r="K17" s="2"/>
      <c r="L17" s="2"/>
      <c r="M17" s="2"/>
    </row>
    <row r="18" spans="1:13">
      <c r="A18" s="2" t="s">
        <v>58</v>
      </c>
      <c r="B18" s="2" t="s">
        <v>59</v>
      </c>
      <c r="C18" s="2" t="s">
        <v>60</v>
      </c>
      <c r="D18" s="2"/>
      <c r="E18" s="2">
        <v>1</v>
      </c>
      <c r="F18" s="2">
        <v>2</v>
      </c>
      <c r="G18" s="2"/>
      <c r="H18" s="2">
        <v>1</v>
      </c>
      <c r="I18" s="2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12</vt:i4>
      </vt:variant>
    </vt:vector>
  </HeadingPairs>
  <TitlesOfParts>
    <vt:vector size="15" baseType="lpstr">
      <vt:lpstr>Sheet1</vt:lpstr>
      <vt:lpstr>PriceMatrix</vt:lpstr>
      <vt:lpstr>find_price_in_matrix</vt:lpstr>
      <vt:lpstr>find_price_in_matrix!_ButtonCaption</vt:lpstr>
      <vt:lpstr>find_price_in_matrix!_Comment</vt:lpstr>
      <vt:lpstr>find_price_in_matrix!_Contributor</vt:lpstr>
      <vt:lpstr>find_price_in_matrix!_Copyright</vt:lpstr>
      <vt:lpstr>find_price_in_matrix!_License</vt:lpstr>
      <vt:lpstr>find_price_in_matrix!_LocalComment</vt:lpstr>
      <vt:lpstr>find_price_in_matrix!_PublicName</vt:lpstr>
      <vt:lpstr>find_price_in_matrix!_Since</vt:lpstr>
      <vt:lpstr>find_price_in_matrix!_Tag</vt:lpstr>
      <vt:lpstr>find_price_in_matrix!_Timestamp</vt:lpstr>
      <vt:lpstr>find_price_in_matrix!_Url</vt:lpstr>
      <vt:lpstr>ルールエリア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find_price_in_matrix</dc:title>
  <dc:description>修正可能なマトリックス単価表から単価を探す</dc:description>
  <cp:lastModifiedBy>office</cp:lastModifiedBy>
  <dcterms:created xsi:type="dcterms:W3CDTF">2011-02-01T23:41:59Z</dcterms:created>
  <dcterms:modified xsi:type="dcterms:W3CDTF">2011-04-26T23:22:12Z</dcterms:modified>
</cp:coreProperties>
</file>